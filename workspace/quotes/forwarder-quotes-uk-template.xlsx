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60" tabRatio="600" firstSheet="0" activeTab="0" autoFilterDateGrouping="1"/>
  </bookViews>
  <sheets>
    <sheet xmlns:r="http://schemas.openxmlformats.org/officeDocument/2006/relationships" name="货代报价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7F7F7F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7F7F7F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sz val="9"/>
      <scheme val="minor"/>
    </font>
    <font>
      <color rgb="007F7F7F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4" fontId="0" fillId="2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 wrapText="1"/>
    </xf>
    <xf numFmtId="4" fontId="0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4" fontId="0" fillId="5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vertical="center" wrapText="1"/>
    </xf>
    <xf numFmtId="0" fontId="6" fillId="0" borderId="0" pivotButton="0" quotePrefix="0" xfId="0"/>
    <xf numFmtId="0" fontId="0" fillId="0" borderId="0" pivotButton="0" quotePrefix="0" xfId="0"/>
    <xf numFmtId="58" fontId="0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4" fontId="0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tabSelected="1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K5" sqref="K5"/>
    </sheetView>
  </sheetViews>
  <sheetFormatPr baseColWidth="10" defaultColWidth="8.83203125" defaultRowHeight="14"/>
  <cols>
    <col width="18" customWidth="1" style="21" min="1" max="2"/>
    <col width="8" customWidth="1" style="21" min="3" max="3"/>
    <col width="7" customWidth="1" style="21" min="4" max="4"/>
    <col width="12" customWidth="1" style="21" min="5" max="6"/>
    <col width="8" customWidth="1" style="21" min="7" max="7"/>
    <col width="36.33203125" customWidth="1" style="21" min="8" max="8"/>
    <col width="13" customWidth="1" style="21" min="9" max="9"/>
    <col width="9" customWidth="1" style="21" min="10" max="10"/>
    <col width="28.83203125" customWidth="1" style="21" min="11" max="11"/>
    <col width="34.1640625" customWidth="1" style="21" min="12" max="12"/>
    <col width="12" customWidth="1" style="21" min="13" max="13"/>
    <col width="13" customWidth="1" style="21" min="14" max="14"/>
    <col width="30" customWidth="1" style="21" min="15" max="15"/>
  </cols>
  <sheetData>
    <row r="1" ht="17" customHeight="1" s="21">
      <c r="A1" s="1" t="inlineStr">
        <is>
          <t>英国到门运费 · 货代报价对比表</t>
        </is>
      </c>
    </row>
    <row r="2">
      <c r="A2" s="2" t="inlineStr">
        <is>
          <t>货物</t>
        </is>
      </c>
      <c r="B2" t="inlineStr">
        <is>
          <t>21" 陶瓷 Kamado 整机</t>
        </is>
      </c>
      <c r="H2" s="2" t="inlineStr">
        <is>
          <t>汇率（1 USD = ? RMB）</t>
        </is>
      </c>
      <c r="I2" s="3" t="n">
        <v>7.1</v>
      </c>
      <c r="K2" t="inlineStr">
        <is>
          <t>工厂自己打包打木架</t>
        </is>
      </c>
      <c r="L2" t="inlineStr">
        <is>
          <t>尺寸：76.5*69.5*94cm</t>
        </is>
      </c>
    </row>
    <row r="3">
      <c r="A3" s="2" t="inlineStr">
        <is>
          <t>单箱</t>
        </is>
      </c>
      <c r="B3" t="inlineStr">
        <is>
          <t>69 × 64 × 90 cm · 毛重 85 kg · 约 0.40 立方米</t>
        </is>
      </c>
      <c r="H3" s="20" t="inlineStr">
        <is>
          <t>英镑汇率（1 GBP = ? USD）</t>
        </is>
      </c>
      <c r="I3" s="3" t="n">
        <v>1.3</v>
      </c>
      <c r="L3" t="inlineStr">
        <is>
          <t>毛重：93㎏</t>
        </is>
      </c>
    </row>
    <row r="4">
      <c r="A4" s="2" t="inlineStr">
        <is>
          <t>起运</t>
        </is>
      </c>
      <c r="B4" t="inlineStr">
        <is>
          <t>工厂 / 深圳盐田</t>
        </is>
      </c>
      <c r="H4" s="4" t="inlineStr">
        <is>
          <t>黄色 = 你填 · 绿色 = 自动算</t>
        </is>
      </c>
    </row>
    <row r="5">
      <c r="A5" s="2" t="inlineStr">
        <is>
          <t>目的地</t>
        </is>
      </c>
      <c r="B5" t="inlineStr">
        <is>
          <t>英国（送到门口）</t>
        </is>
      </c>
      <c r="H5" t="inlineStr">
        <is>
          <t>不需要脚架和木板，工厂一个报价：</t>
        </is>
      </c>
      <c r="I5" t="n">
        <v>1500</v>
      </c>
      <c r="K5" t="inlineStr">
        <is>
          <t>工厂没有脚垫，我自己去找货</t>
        </is>
      </c>
      <c r="L5" t="inlineStr">
        <is>
          <t>1个15块，一个烤炉需要3个</t>
        </is>
      </c>
      <c r="M5" t="n">
        <v>45</v>
      </c>
    </row>
    <row r="7" ht="30" customHeight="1" s="21">
      <c r="A7" s="5" t="inlineStr">
        <is>
          <t>货代公司</t>
        </is>
      </c>
      <c r="B7" s="5" t="inlineStr">
        <is>
          <t>联系人 / 电话</t>
        </is>
      </c>
      <c r="C7" s="5" t="inlineStr">
        <is>
          <t>档位</t>
        </is>
      </c>
      <c r="D7" s="5" t="inlineStr">
        <is>
          <t>件数</t>
        </is>
      </c>
      <c r="E7" s="5" t="inlineStr">
        <is>
          <t>运输方式</t>
        </is>
      </c>
      <c r="F7" s="5" t="inlineStr">
        <is>
          <t>总价</t>
        </is>
      </c>
      <c r="G7" s="5" t="inlineStr">
        <is>
          <t>币种</t>
        </is>
      </c>
      <c r="H7" s="5" t="inlineStr">
        <is>
          <t>单台价 (原币)</t>
        </is>
      </c>
      <c r="I7" s="5" t="inlineStr">
        <is>
          <t>单台价 (USD)</t>
        </is>
      </c>
      <c r="J7" s="5" t="inlineStr">
        <is>
          <t>含关税</t>
        </is>
      </c>
      <c r="K7" s="5" t="inlineStr">
        <is>
          <t>含 VAT</t>
        </is>
      </c>
      <c r="L7" s="5" t="inlineStr">
        <is>
          <t>送货上门</t>
        </is>
      </c>
      <c r="M7" s="5" t="inlineStr">
        <is>
          <t>时效</t>
        </is>
      </c>
      <c r="N7" s="5" t="inlineStr">
        <is>
          <t>报价有效期</t>
        </is>
      </c>
      <c r="O7" s="5" t="inlineStr">
        <is>
          <t>备注</t>
        </is>
      </c>
    </row>
    <row r="8" ht="30" customFormat="1" customHeight="1" s="26">
      <c r="A8" s="23" t="inlineStr">
        <is>
          <t>ship-track</t>
        </is>
      </c>
      <c r="B8" s="23" t="inlineStr">
        <is>
          <t>旧故里-英国货代/18110665452</t>
        </is>
      </c>
      <c r="C8" s="23" t="inlineStr">
        <is>
          <t>样品</t>
        </is>
      </c>
      <c r="D8" s="23" t="n">
        <v>1</v>
      </c>
      <c r="E8" s="23" t="inlineStr">
        <is>
          <t>海运</t>
        </is>
      </c>
      <c r="F8" s="25">
        <f>17*93</f>
        <v/>
      </c>
      <c r="G8" s="23" t="inlineStr">
        <is>
          <t>RMB</t>
        </is>
      </c>
      <c r="H8" s="25">
        <f>IF(F8="","",F8/D8)</f>
        <v/>
      </c>
      <c r="I8" s="25">
        <f>IF(F8="","",IF(G8="USD",F8/D8,IF(G8="RMB",F8/D8/$I$2,IF(G8="GBP",F8/D8*$I$3,""))))</f>
        <v/>
      </c>
      <c r="J8" s="23" t="inlineStr">
        <is>
          <t>是</t>
        </is>
      </c>
      <c r="K8" s="23" t="inlineStr">
        <is>
          <t>是</t>
        </is>
      </c>
      <c r="L8" s="23" t="inlineStr">
        <is>
          <t>是</t>
        </is>
      </c>
      <c r="M8" s="23" t="inlineStr">
        <is>
          <t>50-60</t>
        </is>
      </c>
      <c r="N8" s="23" t="n"/>
      <c r="O8" s="24" t="inlineStr">
        <is>
          <t>双清包税到门，单价 17/kg × 毛重 93 kg（原填 1326 按净重 78 kg 算，已改）</t>
        </is>
      </c>
    </row>
    <row r="9" ht="30" customHeight="1" s="21">
      <c r="A9" s="11">
        <f>IF(A8="","",A8)</f>
        <v/>
      </c>
      <c r="B9" s="12">
        <f>IF(B8="","",B8)</f>
        <v/>
      </c>
      <c r="C9" s="8" t="inlineStr">
        <is>
          <t>样品</t>
        </is>
      </c>
      <c r="D9" s="8" t="n">
        <v>1</v>
      </c>
      <c r="E9" s="8" t="inlineStr">
        <is>
          <t>空运 / 快递</t>
        </is>
      </c>
      <c r="F9" s="9" t="inlineStr">
        <is>
          <t>比海派贵，不做</t>
        </is>
      </c>
      <c r="G9" s="6" t="n"/>
      <c r="H9" s="10">
        <f>IF(F9="","",F9/D9)</f>
        <v/>
      </c>
      <c r="I9" s="10">
        <f>IF(F9="","",IF(G9="USD",F9/D9,IF(G9="RMB",F9/D9/$I$2,IF(G9="GBP",F9/D9*$I$3,""))))</f>
        <v/>
      </c>
      <c r="J9" s="6" t="n"/>
      <c r="K9" s="6" t="n"/>
      <c r="L9" s="6" t="n"/>
      <c r="M9" s="6" t="n"/>
      <c r="N9" s="6" t="n"/>
      <c r="O9" s="7" t="n"/>
    </row>
    <row r="10" hidden="1" ht="30" customHeight="1" s="21">
      <c r="A10" s="11">
        <f>IF(A8="","",A8)</f>
        <v/>
      </c>
      <c r="B10" s="12">
        <f>IF(B8="","",B8)</f>
        <v/>
      </c>
      <c r="C10" s="8" t="inlineStr">
        <is>
          <t>小单</t>
        </is>
      </c>
      <c r="D10" s="8" t="n">
        <v>10</v>
      </c>
      <c r="E10" s="8" t="inlineStr">
        <is>
          <t>海运</t>
        </is>
      </c>
      <c r="F10" s="9" t="n"/>
      <c r="G10" s="6" t="n"/>
      <c r="H10" s="10">
        <f>IF(F10="","",F10/D10)</f>
        <v/>
      </c>
      <c r="I10" s="10">
        <f>IF(F10="","",IF(G10="USD",F10/D10,IF(G10="RMB",F10/D10/$I$2,IF(G10="GBP",F10/D10*$I$3,""))))</f>
        <v/>
      </c>
      <c r="J10" s="6" t="n"/>
      <c r="K10" s="6" t="n"/>
      <c r="L10" s="6" t="n"/>
      <c r="M10" s="6" t="n"/>
      <c r="N10" s="6" t="n"/>
      <c r="O10" s="7" t="n"/>
    </row>
    <row r="11" hidden="1" ht="31" customHeight="1" s="21" thickBot="1">
      <c r="A11" s="13">
        <f>IF(A8="","",A8)</f>
        <v/>
      </c>
      <c r="B11" s="14">
        <f>IF(B8="","",B8)</f>
        <v/>
      </c>
      <c r="C11" s="15" t="inlineStr">
        <is>
          <t>小单</t>
        </is>
      </c>
      <c r="D11" s="15" t="n">
        <v>20</v>
      </c>
      <c r="E11" s="15" t="inlineStr">
        <is>
          <t>海运</t>
        </is>
      </c>
      <c r="F11" s="16" t="n"/>
      <c r="G11" s="17" t="n"/>
      <c r="H11" s="18">
        <f>IF(F11="","",F11/D11)</f>
        <v/>
      </c>
      <c r="I11" s="18">
        <f>IF(F11="","",IF(G11="USD",F11/D11,IF(G11="RMB",F11/D11/$I$2,IF(G11="GBP",F11/D11*$I$3,""))))</f>
        <v/>
      </c>
      <c r="J11" s="17" t="n"/>
      <c r="K11" s="17" t="n"/>
      <c r="L11" s="17" t="n"/>
      <c r="M11" s="17" t="n"/>
      <c r="N11" s="17" t="n"/>
      <c r="O11" s="19" t="n"/>
    </row>
    <row r="12" ht="15" customHeight="1" s="21">
      <c r="A12" s="6" t="inlineStr">
        <is>
          <t>华城通国际</t>
        </is>
      </c>
      <c r="B12" s="7" t="n">
        <v>19327923342</v>
      </c>
      <c r="C12" s="8" t="inlineStr">
        <is>
          <t>样品</t>
        </is>
      </c>
      <c r="D12" s="8" t="n">
        <v>1</v>
      </c>
      <c r="E12" s="8" t="inlineStr">
        <is>
          <t>海运</t>
        </is>
      </c>
      <c r="F12" s="9" t="n">
        <v>1720</v>
      </c>
      <c r="G12" s="6" t="inlineStr">
        <is>
          <t>RMB</t>
        </is>
      </c>
      <c r="H12" s="10">
        <f>IF(F12="","",F12/D12)</f>
        <v/>
      </c>
      <c r="I12" s="10">
        <f>IF(F12="","",IF(G12="USD",F12/D12,IF(G12="RMB",F12/D12/$I$2,IF(G12="GBP",F12/D12*$I$3,""))))</f>
        <v/>
      </c>
      <c r="J12" s="6" t="inlineStr">
        <is>
          <t>是</t>
        </is>
      </c>
      <c r="K12" s="6" t="inlineStr">
        <is>
          <t>是</t>
        </is>
      </c>
      <c r="L12" s="6" t="inlineStr">
        <is>
          <t>是</t>
        </is>
      </c>
      <c r="M12" s="6" t="inlineStr">
        <is>
          <t>35-50</t>
        </is>
      </c>
      <c r="N12" s="6" t="n"/>
      <c r="O12" s="7" t="n"/>
    </row>
    <row r="13" ht="15" customHeight="1" s="21">
      <c r="A13" s="11">
        <f>IF(A12="","",A12)</f>
        <v/>
      </c>
      <c r="B13" s="12">
        <f>IF(B12="","",B12)</f>
        <v/>
      </c>
      <c r="C13" s="8" t="inlineStr">
        <is>
          <t>样品</t>
        </is>
      </c>
      <c r="D13" s="8" t="n">
        <v>1</v>
      </c>
      <c r="E13" s="8" t="inlineStr">
        <is>
          <t>卡航</t>
        </is>
      </c>
      <c r="F13" s="9" t="n">
        <v>2510.5</v>
      </c>
      <c r="G13" s="6" t="inlineStr">
        <is>
          <t>RMB</t>
        </is>
      </c>
      <c r="H13" s="10">
        <f>IF(F13="","",F13/D13)</f>
        <v/>
      </c>
      <c r="I13" s="10">
        <f>IF(F13="","",IF(G13="USD",F13/D13,IF(G13="RMB",F13/D13/$I$2,IF(G13="GBP",F13/D13*$I$3,""))))</f>
        <v/>
      </c>
      <c r="J13" s="6" t="inlineStr">
        <is>
          <t>是</t>
        </is>
      </c>
      <c r="K13" s="6" t="inlineStr">
        <is>
          <t>是</t>
        </is>
      </c>
      <c r="L13" s="6" t="inlineStr">
        <is>
          <t>是</t>
        </is>
      </c>
      <c r="M13" s="6" t="inlineStr">
        <is>
          <t>20-30</t>
        </is>
      </c>
      <c r="N13" s="6" t="n"/>
      <c r="O13" s="7" t="n"/>
    </row>
    <row r="14" hidden="1" ht="15" customHeight="1" s="21">
      <c r="A14" s="11">
        <f>IF(A12="","",A12)</f>
        <v/>
      </c>
      <c r="B14" s="12">
        <f>IF(B12="","",B12)</f>
        <v/>
      </c>
      <c r="C14" s="8" t="inlineStr">
        <is>
          <t>小单</t>
        </is>
      </c>
      <c r="D14" s="8" t="n">
        <v>10</v>
      </c>
      <c r="E14" s="8" t="inlineStr">
        <is>
          <t>海运</t>
        </is>
      </c>
      <c r="F14" s="9" t="n"/>
      <c r="G14" s="6" t="n"/>
      <c r="H14" s="10">
        <f>IF(F14="","",F14/D14)</f>
        <v/>
      </c>
      <c r="I14" s="10">
        <f>IF(F14="","",IF(G14="USD",F14/D14,IF(G14="RMB",F14/D14/$I$2,IF(G14="GBP",F14/D14*$I$3,""))))</f>
        <v/>
      </c>
      <c r="J14" s="6" t="n"/>
      <c r="K14" s="6" t="n"/>
      <c r="L14" s="6" t="n"/>
      <c r="M14" s="6" t="n"/>
      <c r="N14" s="6" t="n"/>
      <c r="O14" s="7" t="n"/>
    </row>
    <row r="15" hidden="1" ht="15" customHeight="1" s="21">
      <c r="A15" s="13">
        <f>IF(A12="","",A12)</f>
        <v/>
      </c>
      <c r="B15" s="14">
        <f>IF(B12="","",B12)</f>
        <v/>
      </c>
      <c r="C15" s="15" t="inlineStr">
        <is>
          <t>小单</t>
        </is>
      </c>
      <c r="D15" s="15" t="n">
        <v>20</v>
      </c>
      <c r="E15" s="15" t="inlineStr">
        <is>
          <t>海运</t>
        </is>
      </c>
      <c r="F15" s="16" t="n"/>
      <c r="G15" s="17" t="n"/>
      <c r="H15" s="18">
        <f>IF(F15="","",F15/D15)</f>
        <v/>
      </c>
      <c r="I15" s="18">
        <f>IF(F15="","",IF(G15="USD",F15/D15,IF(G15="RMB",F15/D15/$I$2,IF(G15="GBP",F15/D15*$I$3,""))))</f>
        <v/>
      </c>
      <c r="J15" s="17" t="n"/>
      <c r="K15" s="17" t="n"/>
      <c r="L15" s="17" t="n"/>
      <c r="M15" s="17" t="n"/>
      <c r="N15" s="17" t="n"/>
      <c r="O15" s="19" t="n"/>
    </row>
    <row r="16" ht="15" customHeight="1" s="21">
      <c r="A16" s="6" t="inlineStr">
        <is>
          <t>国际跨境物流</t>
        </is>
      </c>
      <c r="B16" s="7" t="n">
        <v>19306623119</v>
      </c>
      <c r="C16" s="8" t="inlineStr">
        <is>
          <t>样品</t>
        </is>
      </c>
      <c r="D16" s="8" t="n">
        <v>1</v>
      </c>
      <c r="E16" s="8" t="inlineStr">
        <is>
          <t>海运</t>
        </is>
      </c>
      <c r="F16" s="9">
        <f>18*93+100</f>
        <v/>
      </c>
      <c r="G16" s="6" t="inlineStr">
        <is>
          <t>RMB</t>
        </is>
      </c>
      <c r="H16" s="10">
        <f>IF(F16="","",F16/D16)</f>
        <v/>
      </c>
      <c r="I16" s="10">
        <f>IF(F16="","",IF(G16="USD",F16/D16,IF(G16="RMB",F16/D16/$I$2,IF(G16="GBP",F16/D16*$I$3,""))))</f>
        <v/>
      </c>
      <c r="J16" s="6" t="inlineStr">
        <is>
          <t>是</t>
        </is>
      </c>
      <c r="K16" s="6" t="inlineStr">
        <is>
          <t>是</t>
        </is>
      </c>
      <c r="L16" s="6" t="inlineStr">
        <is>
          <t>是</t>
        </is>
      </c>
      <c r="M16" s="6" t="inlineStr">
        <is>
          <t>36-40</t>
        </is>
      </c>
      <c r="N16" s="6" t="n"/>
      <c r="O16" s="7" t="n"/>
    </row>
    <row r="17" ht="15" customHeight="1" s="21">
      <c r="A17" s="11">
        <f>IF(A16="","",A16)</f>
        <v/>
      </c>
      <c r="B17" s="12">
        <f>IF(B16="","",B16)</f>
        <v/>
      </c>
      <c r="C17" s="8" t="inlineStr">
        <is>
          <t>样品</t>
        </is>
      </c>
      <c r="D17" s="8" t="n">
        <v>1</v>
      </c>
      <c r="E17" s="8" t="inlineStr">
        <is>
          <t>空运 / 快递</t>
        </is>
      </c>
      <c r="F17" s="9" t="n">
        <v>4843</v>
      </c>
      <c r="G17" s="6" t="inlineStr">
        <is>
          <t>RMB</t>
        </is>
      </c>
      <c r="H17" s="10">
        <f>IF(F17="","",F17/D17)</f>
        <v/>
      </c>
      <c r="I17" s="10">
        <f>IF(F17="","",IF(G17="USD",F17/D17,IF(G17="RMB",F17/D17/$I$2,IF(G17="GBP",F17/D17*$I$3,""))))</f>
        <v/>
      </c>
      <c r="J17" s="6" t="inlineStr">
        <is>
          <t>是</t>
        </is>
      </c>
      <c r="K17" s="6" t="inlineStr">
        <is>
          <t>是</t>
        </is>
      </c>
      <c r="L17" s="6" t="inlineStr">
        <is>
          <t>是</t>
        </is>
      </c>
      <c r="M17" s="22" t="inlineStr">
        <is>
          <t>8、12</t>
        </is>
      </c>
      <c r="N17" s="6" t="n"/>
      <c r="O17" s="7" t="n"/>
    </row>
    <row r="18" hidden="1" ht="15" customHeight="1" s="21">
      <c r="A18" s="11">
        <f>IF(A16="","",A16)</f>
        <v/>
      </c>
      <c r="B18" s="12">
        <f>IF(B16="","",B16)</f>
        <v/>
      </c>
      <c r="C18" s="8" t="inlineStr">
        <is>
          <t>小单</t>
        </is>
      </c>
      <c r="D18" s="8" t="n">
        <v>10</v>
      </c>
      <c r="E18" s="8" t="inlineStr">
        <is>
          <t>海运</t>
        </is>
      </c>
      <c r="F18" s="9" t="n"/>
      <c r="G18" s="6" t="n"/>
      <c r="H18" s="10">
        <f>IF(F18="","",F18/D18)</f>
        <v/>
      </c>
      <c r="I18" s="10">
        <f>IF(F18="","",IF(G18="USD",F18/D18,IF(G18="RMB",F18/D18/$I$2,IF(G18="GBP",F18/D18*$I$3,""))))</f>
        <v/>
      </c>
      <c r="J18" s="6" t="n"/>
      <c r="K18" s="6" t="n"/>
      <c r="L18" s="6" t="n"/>
      <c r="M18" s="6" t="n"/>
      <c r="N18" s="6" t="n"/>
      <c r="O18" s="7" t="n"/>
    </row>
    <row r="19" hidden="1" ht="15" customHeight="1" s="21">
      <c r="A19" s="13">
        <f>IF(A16="","",A16)</f>
        <v/>
      </c>
      <c r="B19" s="14">
        <f>IF(B16="","",B16)</f>
        <v/>
      </c>
      <c r="C19" s="15" t="inlineStr">
        <is>
          <t>小单</t>
        </is>
      </c>
      <c r="D19" s="15" t="n">
        <v>20</v>
      </c>
      <c r="E19" s="15" t="inlineStr">
        <is>
          <t>海运</t>
        </is>
      </c>
      <c r="F19" s="16" t="n"/>
      <c r="G19" s="17" t="n"/>
      <c r="H19" s="18">
        <f>IF(F19="","",F19/D19)</f>
        <v/>
      </c>
      <c r="I19" s="18">
        <f>IF(F19="","",IF(G19="USD",F19/D19,IF(G19="RMB",F19/D19/$I$2,IF(G19="GBP",F19/D19*$I$3,""))))</f>
        <v/>
      </c>
      <c r="J19" s="17" t="n"/>
      <c r="K19" s="17" t="n"/>
      <c r="L19" s="17" t="n"/>
      <c r="M19" s="17" t="n"/>
      <c r="N19" s="17" t="n"/>
      <c r="O19" s="19" t="n"/>
    </row>
    <row r="20" ht="30" customFormat="1" customHeight="1" s="26">
      <c r="A20" s="23" t="inlineStr">
        <is>
          <t>信云达国际物流</t>
        </is>
      </c>
      <c r="B20" s="24" t="inlineStr">
        <is>
          <t>欧美加墨、18702669941</t>
        </is>
      </c>
      <c r="C20" s="23" t="inlineStr">
        <is>
          <t>样品</t>
        </is>
      </c>
      <c r="D20" s="23" t="n">
        <v>1</v>
      </c>
      <c r="E20" s="23" t="inlineStr">
        <is>
          <t>海运</t>
        </is>
      </c>
      <c r="F20" s="25">
        <f>7.5*93+600</f>
        <v/>
      </c>
      <c r="G20" s="23" t="inlineStr">
        <is>
          <t>RMB</t>
        </is>
      </c>
      <c r="H20" s="25">
        <f>IF(F20="","",F20/D20)</f>
        <v/>
      </c>
      <c r="I20" s="25">
        <f>IF(F20="","",IF(G20="USD",F20/D20,IF(G20="RMB",F20/D20/$I$2,IF(G20="GBP",F20/D20*$I$3,""))))</f>
        <v/>
      </c>
      <c r="J20" s="23" t="inlineStr">
        <is>
          <t>是</t>
        </is>
      </c>
      <c r="K20" s="23" t="inlineStr">
        <is>
          <t>是</t>
        </is>
      </c>
      <c r="L20" s="23" t="inlineStr">
        <is>
          <t>是</t>
        </is>
      </c>
      <c r="M20" s="23" t="inlineStr">
        <is>
          <t>45-50</t>
        </is>
      </c>
      <c r="N20" s="23" t="n"/>
      <c r="O20" s="24" t="n"/>
    </row>
    <row r="21" ht="15" customFormat="1" customHeight="1" s="26">
      <c r="A21" s="27">
        <f>IF(A20="","",A20)</f>
        <v/>
      </c>
      <c r="B21" s="28">
        <f>IF(B20="","",B20)</f>
        <v/>
      </c>
      <c r="C21" s="23" t="inlineStr">
        <is>
          <t>样品</t>
        </is>
      </c>
      <c r="D21" s="23" t="n">
        <v>1</v>
      </c>
      <c r="E21" s="23" t="inlineStr">
        <is>
          <t>卡运</t>
        </is>
      </c>
      <c r="F21" s="25">
        <f>16.3*93+600</f>
        <v/>
      </c>
      <c r="G21" s="23" t="inlineStr">
        <is>
          <t>RMB</t>
        </is>
      </c>
      <c r="H21" s="25">
        <f>IF(F21="","",F21/D21)</f>
        <v/>
      </c>
      <c r="I21" s="25">
        <f>IF(F21="","",IF(G21="USD",F21/D21,IF(G21="RMB",F21/D21/$I$2,IF(G21="GBP",F21/D21*$I$3,""))))</f>
        <v/>
      </c>
      <c r="J21" s="23" t="inlineStr">
        <is>
          <t>是</t>
        </is>
      </c>
      <c r="K21" s="23" t="inlineStr">
        <is>
          <t>是</t>
        </is>
      </c>
      <c r="L21" s="23" t="inlineStr">
        <is>
          <t>是</t>
        </is>
      </c>
      <c r="M21" s="23" t="inlineStr">
        <is>
          <t>20-25</t>
        </is>
      </c>
      <c r="N21" s="23" t="n"/>
      <c r="O21" s="24" t="inlineStr">
        <is>
          <t>原公式 16.3×900 为笔误，已改 ×93</t>
        </is>
      </c>
    </row>
    <row r="22" ht="15" customHeight="1" s="21">
      <c r="A22" s="11">
        <f>IF(A20="","",A20)</f>
        <v/>
      </c>
      <c r="B22" s="12">
        <f>IF(B20="","",B20)</f>
        <v/>
      </c>
      <c r="C22" s="8" t="inlineStr">
        <is>
          <t>样品</t>
        </is>
      </c>
      <c r="D22" s="8" t="n">
        <v>1</v>
      </c>
      <c r="E22" s="8" t="inlineStr">
        <is>
          <t>空运 / 快递</t>
        </is>
      </c>
      <c r="F22" s="9">
        <f>51*93+850</f>
        <v/>
      </c>
      <c r="G22" s="6" t="inlineStr">
        <is>
          <t>RMB</t>
        </is>
      </c>
      <c r="H22" s="10">
        <f>IF(F22="","",F22/D22)</f>
        <v/>
      </c>
      <c r="I22" s="10">
        <f>IF(F22="","",IF(G22="USD",F22/D22,IF(G22="RMB",F22/D22/$I$2,IF(G22="GBP",F22/D22*$I$3,""))))</f>
        <v/>
      </c>
      <c r="J22" s="6" t="inlineStr">
        <is>
          <t>是</t>
        </is>
      </c>
      <c r="K22" s="6" t="inlineStr">
        <is>
          <t>是</t>
        </is>
      </c>
      <c r="L22" s="6" t="inlineStr">
        <is>
          <t>是</t>
        </is>
      </c>
      <c r="M22" s="22" t="inlineStr">
        <is>
          <t>10,12</t>
        </is>
      </c>
      <c r="N22" s="6" t="n"/>
      <c r="O22" s="7" t="n"/>
    </row>
    <row r="23" hidden="1" ht="15" customHeight="1" s="21">
      <c r="A23" s="11">
        <f>IF(A20="","",A20)</f>
        <v/>
      </c>
      <c r="B23" s="12">
        <f>IF(B20="","",B20)</f>
        <v/>
      </c>
      <c r="C23" s="8" t="inlineStr">
        <is>
          <t>小单</t>
        </is>
      </c>
      <c r="D23" s="8" t="n">
        <v>10</v>
      </c>
      <c r="E23" s="8" t="inlineStr">
        <is>
          <t>海运</t>
        </is>
      </c>
      <c r="F23" s="9" t="n"/>
      <c r="G23" s="6" t="n"/>
      <c r="H23" s="10">
        <f>IF(F23="","",F23/D23)</f>
        <v/>
      </c>
      <c r="I23" s="10">
        <f>IF(F23="","",IF(G23="USD",F23/D23,IF(G23="RMB",F23/D23/$I$2,IF(G23="GBP",F23/D23*$I$3,""))))</f>
        <v/>
      </c>
      <c r="J23" s="6" t="n"/>
      <c r="K23" s="6" t="n"/>
      <c r="L23" s="6" t="n"/>
      <c r="M23" s="6" t="n"/>
      <c r="N23" s="6" t="n"/>
      <c r="O23" s="7" t="n"/>
    </row>
    <row r="24" hidden="1" ht="15" customHeight="1" s="21">
      <c r="A24" s="13">
        <f>IF(A20="","",A20)</f>
        <v/>
      </c>
      <c r="B24" s="14">
        <f>IF(B20="","",B20)</f>
        <v/>
      </c>
      <c r="C24" s="15" t="inlineStr">
        <is>
          <t>小单</t>
        </is>
      </c>
      <c r="D24" s="15" t="n">
        <v>20</v>
      </c>
      <c r="E24" s="15" t="inlineStr">
        <is>
          <t>海运</t>
        </is>
      </c>
      <c r="F24" s="16" t="n"/>
      <c r="G24" s="17" t="n"/>
      <c r="H24" s="18">
        <f>IF(F24="","",F24/D24)</f>
        <v/>
      </c>
      <c r="I24" s="18">
        <f>IF(F24="","",IF(G24="USD",F24/D24,IF(G24="RMB",F24/D24/$I$2,IF(G24="GBP",F24/D24*$I$3,""))))</f>
        <v/>
      </c>
      <c r="J24" s="17" t="n"/>
      <c r="K24" s="17" t="n"/>
      <c r="L24" s="17" t="n"/>
      <c r="M24" s="17" t="n"/>
      <c r="N24" s="17" t="n"/>
      <c r="O24" s="19" t="n"/>
    </row>
    <row r="25" ht="15" customHeight="1" s="21">
      <c r="A25" s="6" t="inlineStr">
        <is>
          <t>长河航通</t>
        </is>
      </c>
      <c r="B25" s="7" t="n"/>
      <c r="C25" s="8" t="inlineStr">
        <is>
          <t>样品</t>
        </is>
      </c>
      <c r="D25" s="8" t="n">
        <v>1</v>
      </c>
      <c r="E25" s="8" t="inlineStr">
        <is>
          <t>海运</t>
        </is>
      </c>
      <c r="F25" s="9">
        <f>10.5*93</f>
        <v/>
      </c>
      <c r="G25" s="6" t="inlineStr">
        <is>
          <t>RMB</t>
        </is>
      </c>
      <c r="H25" s="10">
        <f>IF(F25="","",F25/D25)</f>
        <v/>
      </c>
      <c r="I25" s="10">
        <f>IF(F25="","",IF(G25="USD",F25/D25,IF(G25="RMB",F25/D25/$I$2,IF(G25="GBP",F25/D25*$I$3,""))))</f>
        <v/>
      </c>
      <c r="J25" s="6" t="inlineStr">
        <is>
          <t>是</t>
        </is>
      </c>
      <c r="K25" s="6" t="inlineStr">
        <is>
          <t>是</t>
        </is>
      </c>
      <c r="L25" s="6" t="inlineStr">
        <is>
          <t>是</t>
        </is>
      </c>
      <c r="M25" s="6" t="inlineStr">
        <is>
          <t>40-50</t>
        </is>
      </c>
      <c r="N25" s="6" t="n"/>
      <c r="O25" s="7" t="inlineStr">
        <is>
          <t>已确认送货上门，签收时效 40–50 天（2026-10-22）</t>
        </is>
      </c>
    </row>
    <row r="26" ht="15" customHeight="1" s="21">
      <c r="A26" s="11">
        <f>IF(A25="","",A25)</f>
        <v/>
      </c>
      <c r="B26" s="12">
        <f>IF(B25="","",B25)</f>
        <v/>
      </c>
      <c r="C26" s="8" t="inlineStr">
        <is>
          <t>样品</t>
        </is>
      </c>
      <c r="D26" s="8" t="n">
        <v>1</v>
      </c>
      <c r="E26" s="8" t="inlineStr">
        <is>
          <t>空运 / 快递</t>
        </is>
      </c>
      <c r="F26" s="9" t="inlineStr">
        <is>
          <t>无</t>
        </is>
      </c>
      <c r="G26" s="6" t="n"/>
      <c r="H26" s="10">
        <f>IF(F26="","",F26/D26)</f>
        <v/>
      </c>
      <c r="I26" s="10">
        <f>IF(F26="","",IF(G26="USD",F26/D26,IF(G26="RMB",F26/D26/$I$2,IF(G26="GBP",F26/D26*$I$3,""))))</f>
        <v/>
      </c>
      <c r="J26" s="6" t="n"/>
      <c r="K26" s="6" t="n"/>
      <c r="L26" s="6" t="n"/>
      <c r="M26" s="6" t="n"/>
      <c r="N26" s="6" t="n"/>
      <c r="O26" s="7" t="n"/>
    </row>
    <row r="27" hidden="1" ht="15" customHeight="1" s="21">
      <c r="A27" s="11">
        <f>IF(A25="","",A25)</f>
        <v/>
      </c>
      <c r="B27" s="12">
        <f>IF(B25="","",B25)</f>
        <v/>
      </c>
      <c r="C27" s="8" t="inlineStr">
        <is>
          <t>小单</t>
        </is>
      </c>
      <c r="D27" s="8" t="n">
        <v>10</v>
      </c>
      <c r="E27" s="8" t="inlineStr">
        <is>
          <t>海运</t>
        </is>
      </c>
      <c r="F27" s="9" t="n"/>
      <c r="G27" s="6" t="n"/>
      <c r="H27" s="10">
        <f>IF(F27="","",F27/D27)</f>
        <v/>
      </c>
      <c r="I27" s="10">
        <f>IF(F27="","",IF(G27="USD",F27/D27,IF(G27="RMB",F27/D27/$I$2,IF(G27="GBP",F27/D27*$I$3,""))))</f>
        <v/>
      </c>
      <c r="J27" s="6" t="n"/>
      <c r="K27" s="6" t="n"/>
      <c r="L27" s="6" t="n"/>
      <c r="M27" s="6" t="n"/>
      <c r="N27" s="6" t="n"/>
      <c r="O27" s="7" t="n"/>
    </row>
    <row r="28" hidden="1" ht="15" customHeight="1" s="21">
      <c r="A28" s="13">
        <f>IF(A25="","",A25)</f>
        <v/>
      </c>
      <c r="B28" s="14">
        <f>IF(B25="","",B25)</f>
        <v/>
      </c>
      <c r="C28" s="15" t="inlineStr">
        <is>
          <t>小单</t>
        </is>
      </c>
      <c r="D28" s="15" t="n">
        <v>20</v>
      </c>
      <c r="E28" s="15" t="inlineStr">
        <is>
          <t>海运</t>
        </is>
      </c>
      <c r="F28" s="16" t="n"/>
      <c r="G28" s="17" t="n"/>
      <c r="H28" s="18">
        <f>IF(F28="","",F28/D28)</f>
        <v/>
      </c>
      <c r="I28" s="18">
        <f>IF(F28="","",IF(G28="USD",F28/D28,IF(G28="RMB",F28/D28/$I$2,IF(G28="GBP",F28/D28*$I$3,""))))</f>
        <v/>
      </c>
      <c r="J28" s="17" t="n"/>
      <c r="K28" s="17" t="n"/>
      <c r="L28" s="17" t="n"/>
      <c r="M28" s="17" t="n"/>
      <c r="N28" s="17" t="n"/>
      <c r="O28" s="19" t="n"/>
    </row>
    <row r="29" ht="15" customHeight="1" s="21">
      <c r="A29" s="6" t="inlineStr">
        <is>
          <t>捷洋物流</t>
        </is>
      </c>
      <c r="B29" s="7" t="n">
        <v>18820992082</v>
      </c>
      <c r="C29" s="8" t="inlineStr">
        <is>
          <t>样品</t>
        </is>
      </c>
      <c r="D29" s="8" t="n">
        <v>1</v>
      </c>
      <c r="E29" s="8" t="inlineStr">
        <is>
          <t>海运</t>
        </is>
      </c>
      <c r="F29" s="9">
        <f>15*93+750</f>
        <v/>
      </c>
      <c r="G29" s="6" t="inlineStr">
        <is>
          <t>RMB</t>
        </is>
      </c>
      <c r="H29" s="10">
        <f>IF(F29="","",F29/D29)</f>
        <v/>
      </c>
      <c r="I29" s="10">
        <f>IF(F29="","",IF(G29="USD",F29/D29,IF(G29="RMB",F29/D29/$I$2,IF(G29="GBP",F29/D29*$I$3,""))))</f>
        <v/>
      </c>
      <c r="J29" s="6" t="inlineStr">
        <is>
          <t>是</t>
        </is>
      </c>
      <c r="K29" s="6" t="inlineStr">
        <is>
          <t>是</t>
        </is>
      </c>
      <c r="L29" s="6" t="inlineStr">
        <is>
          <t>是</t>
        </is>
      </c>
      <c r="M29" s="6" t="n"/>
      <c r="N29" s="6" t="n"/>
      <c r="O29" s="7" t="n"/>
    </row>
    <row r="30" ht="15" customHeight="1" s="21">
      <c r="A30" s="11">
        <f>IF(A29="","",A29)</f>
        <v/>
      </c>
      <c r="B30" s="12">
        <f>IF(B29="","",B29)</f>
        <v/>
      </c>
      <c r="C30" s="8" t="inlineStr">
        <is>
          <t>样品</t>
        </is>
      </c>
      <c r="D30" s="8" t="n">
        <v>1</v>
      </c>
      <c r="E30" s="8" t="inlineStr">
        <is>
          <t>空运 / 快递</t>
        </is>
      </c>
      <c r="F30" s="9" t="n"/>
      <c r="G30" s="6" t="inlineStr">
        <is>
          <t>RMB</t>
        </is>
      </c>
      <c r="H30" s="10">
        <f>IF(F30="","",F30/D30)</f>
        <v/>
      </c>
      <c r="I30" s="10">
        <f>IF(F30="","",IF(G30="USD",F30/D30,IF(G30="RMB",F30/D30/$I$2,IF(G30="GBP",F30/D30*$I$3,""))))</f>
        <v/>
      </c>
      <c r="J30" s="6" t="inlineStr">
        <is>
          <t>是</t>
        </is>
      </c>
      <c r="K30" s="6" t="inlineStr">
        <is>
          <t>是</t>
        </is>
      </c>
      <c r="L30" s="6" t="inlineStr">
        <is>
          <t>是</t>
        </is>
      </c>
      <c r="N30" s="6" t="n"/>
    </row>
    <row r="31" hidden="1" ht="15" customHeight="1" s="21">
      <c r="A31" s="11">
        <f>IF(A29="","",A29)</f>
        <v/>
      </c>
      <c r="B31" s="12">
        <f>IF(B29="","",B29)</f>
        <v/>
      </c>
      <c r="C31" s="8" t="inlineStr">
        <is>
          <t>小单</t>
        </is>
      </c>
      <c r="D31" s="8" t="n">
        <v>10</v>
      </c>
      <c r="E31" s="8" t="inlineStr">
        <is>
          <t>海运</t>
        </is>
      </c>
      <c r="F31" s="9" t="n"/>
      <c r="G31" s="6" t="n"/>
      <c r="H31" s="10">
        <f>IF(F31="","",F31/D31)</f>
        <v/>
      </c>
      <c r="I31" s="10">
        <f>IF(F31="","",IF(G31="USD",F31/D31,IF(G31="RMB",F31/D31/$I$2,IF(G31="GBP",F31/D31*$I$3,""))))</f>
        <v/>
      </c>
      <c r="J31" s="6" t="n"/>
      <c r="K31" s="6" t="n"/>
      <c r="L31" s="6" t="n"/>
      <c r="M31" s="6" t="n"/>
      <c r="N31" s="6" t="n"/>
      <c r="O31" s="7" t="n"/>
    </row>
    <row r="32" hidden="1" ht="15" customHeight="1" s="21">
      <c r="A32" s="13">
        <f>IF(A29="","",A29)</f>
        <v/>
      </c>
      <c r="B32" s="14">
        <f>IF(B29="","",B29)</f>
        <v/>
      </c>
      <c r="C32" s="15" t="inlineStr">
        <is>
          <t>小单</t>
        </is>
      </c>
      <c r="D32" s="15" t="n">
        <v>20</v>
      </c>
      <c r="E32" s="15" t="inlineStr">
        <is>
          <t>海运</t>
        </is>
      </c>
      <c r="F32" s="16" t="n"/>
      <c r="G32" s="17" t="n"/>
      <c r="H32" s="18">
        <f>IF(F32="","",F32/D32)</f>
        <v/>
      </c>
      <c r="I32" s="18">
        <f>IF(F32="","",IF(G32="USD",F32/D32,IF(G32="RMB",F32/D32/$I$2,IF(G32="GBP",F32/D32*$I$3,""))))</f>
        <v/>
      </c>
      <c r="J32" s="17" t="n"/>
      <c r="K32" s="17" t="n"/>
      <c r="L32" s="17" t="n"/>
      <c r="M32" s="17" t="n"/>
      <c r="N32" s="17" t="n"/>
      <c r="O32" s="19" t="n"/>
    </row>
    <row r="33" ht="15" customHeight="1" s="21">
      <c r="A33" s="6" t="n"/>
      <c r="B33" s="7" t="n"/>
      <c r="C33" s="8" t="inlineStr">
        <is>
          <t>样品</t>
        </is>
      </c>
      <c r="D33" s="8" t="n">
        <v>1</v>
      </c>
      <c r="E33" s="8" t="inlineStr">
        <is>
          <t>海运</t>
        </is>
      </c>
      <c r="F33" s="9">
        <f>16*93+80</f>
        <v/>
      </c>
      <c r="G33" s="6" t="inlineStr">
        <is>
          <t>RMB</t>
        </is>
      </c>
      <c r="H33" s="10">
        <f>IF(F33="","",F33/D33)</f>
        <v/>
      </c>
      <c r="I33" s="10">
        <f>IF(F33="","",IF(G33="USD",F33/D33,IF(G33="RMB",F33/D33/$I$2,IF(G33="GBP",F33/D33*$I$3,""))))</f>
        <v/>
      </c>
      <c r="J33" s="6" t="inlineStr">
        <is>
          <t>是</t>
        </is>
      </c>
      <c r="K33" s="6" t="inlineStr">
        <is>
          <t>是</t>
        </is>
      </c>
      <c r="L33" s="6" t="inlineStr">
        <is>
          <t>是</t>
        </is>
      </c>
      <c r="M33" s="6" t="inlineStr">
        <is>
          <t>38-40</t>
        </is>
      </c>
      <c r="N33" s="6" t="n"/>
      <c r="O33" s="7" t="inlineStr">
        <is>
          <t>这个清关时间</t>
        </is>
      </c>
    </row>
    <row r="34" ht="15" customHeight="1" s="21">
      <c r="A34" s="11">
        <f>IF(A33="","",A33)</f>
        <v/>
      </c>
      <c r="B34" s="12">
        <f>IF(B33="","",B33)</f>
        <v/>
      </c>
      <c r="C34" s="8" t="inlineStr">
        <is>
          <t>样品</t>
        </is>
      </c>
      <c r="D34" s="8" t="n">
        <v>1</v>
      </c>
      <c r="E34" s="8" t="inlineStr">
        <is>
          <t>空运 / 快递</t>
        </is>
      </c>
      <c r="F34" s="9" t="n"/>
      <c r="G34" s="6" t="n"/>
      <c r="H34" s="10">
        <f>IF(F34="","",F34/D34)</f>
        <v/>
      </c>
      <c r="I34" s="10">
        <f>IF(F34="","",IF(G34="USD",F34/D34,IF(G34="RMB",F34/D34/$I$2,IF(G34="GBP",F34/D34*$I$3,""))))</f>
        <v/>
      </c>
      <c r="J34" s="6" t="n"/>
      <c r="K34" s="6" t="n"/>
      <c r="L34" s="6" t="n"/>
      <c r="M34" s="6" t="n"/>
      <c r="N34" s="6" t="n"/>
      <c r="O34" s="7" t="n"/>
    </row>
    <row r="35">
      <c r="A35" t="inlineStr">
        <is>
          <t>1. 每家货代一块（4 行），只在第一行填公司名和联系人，下面 3 行自动带出。</t>
        </is>
      </c>
    </row>
    <row r="36">
      <c r="A36" t="inlineStr">
        <is>
          <t>2. 总价填这一档的全部费用；币种选 RMB / USD / GBP，单台 USD 价按右上两个汇率自动换算。</t>
        </is>
      </c>
    </row>
    <row r="37">
      <c r="A37" t="inlineStr">
        <is>
          <t>3. 含关税 / 含 VAT / 送货上门：选 是 / 否 / 未知；问不到就选「未知」。</t>
        </is>
      </c>
    </row>
    <row r="38">
      <c r="A38" t="inlineStr">
        <is>
          <t>4. 货代额外收的费用（报关、提货、偏远附加、保险等）写在备注里。</t>
        </is>
      </c>
    </row>
    <row r="39">
      <c r="A39" t="inlineStr">
        <is>
          <t>5. 不够 6 家：复制最后一块 4 行往下粘贴即可。</t>
        </is>
      </c>
    </row>
  </sheetData>
  <mergeCells count="9">
    <mergeCell ref="B4:F4"/>
    <mergeCell ref="A37:J37"/>
    <mergeCell ref="A36:J36"/>
    <mergeCell ref="B2:F2"/>
    <mergeCell ref="B3:F3"/>
    <mergeCell ref="B5:F5"/>
    <mergeCell ref="A39:J39"/>
    <mergeCell ref="A35:J35"/>
    <mergeCell ref="A38:J38"/>
  </mergeCells>
  <dataValidations count="2">
    <dataValidation sqref="G8:G34" showDropDown="0" showInputMessage="0" showErrorMessage="0" allowBlank="1" type="list">
      <formula1>"RMB,USD,GBP"</formula1>
    </dataValidation>
    <dataValidation sqref="J8:L34" showDropDown="0" showInputMessage="0" showErrorMessage="0" allowBlank="1" type="list">
      <formula1>"是,否,未知"</formula1>
    </dataValidation>
  </dataValidation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2026-10-22T10:40:56Z</dcterms:created>
  <dcterms:modified xmlns:dcterms="http://purl.org/dc/terms/" xmlns:xsi="http://www.w3.org/2001/XMLSchema-instance" xsi:type="dcterms:W3CDTF">2026-10-22T13:12:44Z</dcterms:modified>
  <cp:lastModifiedBy>a57323</cp:lastModifiedBy>
</cp:coreProperties>
</file>